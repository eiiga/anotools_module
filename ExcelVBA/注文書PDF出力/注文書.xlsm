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\注文書PDF出力\"/>
    </mc:Choice>
  </mc:AlternateContent>
  <xr:revisionPtr revIDLastSave="0" documentId="13_ncr:1_{913175CA-0C72-474A-A32F-CEE0E318E052}" xr6:coauthVersionLast="47" xr6:coauthVersionMax="47" xr10:uidLastSave="{00000000-0000-0000-0000-000000000000}"/>
  <bookViews>
    <workbookView xWindow="-110" yWindow="-110" windowWidth="19420" windowHeight="10420" xr2:uid="{2D083439-4EAD-4655-A7A8-9731E6DB4B5E}"/>
  </bookViews>
  <sheets>
    <sheet name="注文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1" l="1"/>
  <c r="W21" i="1"/>
  <c r="W20" i="1"/>
  <c r="W19" i="1"/>
  <c r="W18" i="1"/>
  <c r="W17" i="1"/>
  <c r="W16" i="1"/>
  <c r="W15" i="1"/>
  <c r="W14" i="1"/>
  <c r="W13" i="1"/>
  <c r="W23" i="1" l="1"/>
  <c r="W24" i="1" s="1"/>
  <c r="W25" i="1" l="1"/>
  <c r="G10" i="1" s="1"/>
</calcChain>
</file>

<file path=xl/sharedStrings.xml><?xml version="1.0" encoding="utf-8"?>
<sst xmlns="http://schemas.openxmlformats.org/spreadsheetml/2006/main" count="41" uniqueCount="34">
  <si>
    <t>発注日</t>
    <rPh sb="0" eb="2">
      <t>ハッチュウ</t>
    </rPh>
    <rPh sb="2" eb="3">
      <t>ビ</t>
    </rPh>
    <phoneticPr fontId="1"/>
  </si>
  <si>
    <t>：</t>
    <phoneticPr fontId="1"/>
  </si>
  <si>
    <t>YYYY/MM/DD</t>
    <phoneticPr fontId="1"/>
  </si>
  <si>
    <t>営業部</t>
    <rPh sb="0" eb="3">
      <t>エイギョウブ</t>
    </rPh>
    <phoneticPr fontId="1"/>
  </si>
  <si>
    <t>○○</t>
    <phoneticPr fontId="1"/>
  </si>
  <si>
    <t>様</t>
    <rPh sb="0" eb="1">
      <t>サマ</t>
    </rPh>
    <phoneticPr fontId="1"/>
  </si>
  <si>
    <t>株式会社○○　</t>
    <rPh sb="0" eb="4">
      <t>カブシキガイシャ</t>
    </rPh>
    <phoneticPr fontId="1"/>
  </si>
  <si>
    <t>御中</t>
    <rPh sb="0" eb="2">
      <t>オンチュウ</t>
    </rPh>
    <phoneticPr fontId="1"/>
  </si>
  <si>
    <t>件名</t>
    <rPh sb="0" eb="2">
      <t>ケンメイ</t>
    </rPh>
    <phoneticPr fontId="1"/>
  </si>
  <si>
    <t>○○開発の委託</t>
    <rPh sb="2" eb="4">
      <t>カイハツ</t>
    </rPh>
    <rPh sb="5" eb="7">
      <t>イタク</t>
    </rPh>
    <phoneticPr fontId="1"/>
  </si>
  <si>
    <t>納期</t>
    <rPh sb="0" eb="2">
      <t>ノウキ</t>
    </rPh>
    <phoneticPr fontId="1"/>
  </si>
  <si>
    <t>支払条件</t>
    <rPh sb="0" eb="2">
      <t>シハラ</t>
    </rPh>
    <rPh sb="2" eb="4">
      <t>ジョウケン</t>
    </rPh>
    <phoneticPr fontId="1"/>
  </si>
  <si>
    <t>月末締め翌月20日払い</t>
    <rPh sb="0" eb="2">
      <t>ゲツマツ</t>
    </rPh>
    <rPh sb="2" eb="3">
      <t>ジ</t>
    </rPh>
    <rPh sb="4" eb="6">
      <t>ヨクゲツ</t>
    </rPh>
    <rPh sb="8" eb="9">
      <t>ニチ</t>
    </rPh>
    <rPh sb="9" eb="10">
      <t>ハラ</t>
    </rPh>
    <phoneticPr fontId="1"/>
  </si>
  <si>
    <t>株式会社△△</t>
    <rPh sb="0" eb="4">
      <t>カブシキカイシャ</t>
    </rPh>
    <phoneticPr fontId="1"/>
  </si>
  <si>
    <t>〒</t>
    <phoneticPr fontId="1"/>
  </si>
  <si>
    <t>000-0000</t>
    <phoneticPr fontId="1"/>
  </si>
  <si>
    <t>△△県△△市△△</t>
    <rPh sb="2" eb="3">
      <t>ケン</t>
    </rPh>
    <rPh sb="5" eb="6">
      <t>シ</t>
    </rPh>
    <phoneticPr fontId="1"/>
  </si>
  <si>
    <t>TEL</t>
    <phoneticPr fontId="1"/>
  </si>
  <si>
    <t>000-0000-0000</t>
    <phoneticPr fontId="1"/>
  </si>
  <si>
    <t>担当</t>
    <rPh sb="0" eb="2">
      <t>タントウ</t>
    </rPh>
    <phoneticPr fontId="1"/>
  </si>
  <si>
    <t>△△　△△</t>
    <phoneticPr fontId="1"/>
  </si>
  <si>
    <t>見積金額：</t>
    <rPh sb="0" eb="2">
      <t>ミツモリ</t>
    </rPh>
    <rPh sb="2" eb="4">
      <t>キンガク</t>
    </rPh>
    <phoneticPr fontId="1"/>
  </si>
  <si>
    <t>概要</t>
    <rPh sb="0" eb="2">
      <t>ガイヨウ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</si>
  <si>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</si>
  <si>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</si>
  <si>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</si>
  <si>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</si>
  <si>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</t>
    <rPh sb="0" eb="3">
      <t>ショウヒゼイ</t>
    </rPh>
    <phoneticPr fontId="1"/>
  </si>
  <si>
    <t>合計金額</t>
    <rPh sb="0" eb="2">
      <t>ゴウケイ</t>
    </rPh>
    <rPh sb="2" eb="4">
      <t>キンガク</t>
    </rPh>
    <phoneticPr fontId="1"/>
  </si>
  <si>
    <t>備考</t>
    <rPh sb="0" eb="2">
      <t>ビコウ</t>
    </rPh>
    <phoneticPr fontId="1"/>
  </si>
  <si>
    <t>○○開発</t>
    <rPh sb="2" eb="4">
      <t>カイハツ</t>
    </rPh>
    <phoneticPr fontId="1"/>
  </si>
  <si>
    <t>××開発</t>
    <rPh sb="2" eb="4">
      <t>カイハツ</t>
    </rPh>
    <phoneticPr fontId="1"/>
  </si>
  <si>
    <t>注文書</t>
    <rPh sb="0" eb="3">
      <t>チュウモンショ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</si>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</sst>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5" formatCode="&quot;¥&quot;#,##0;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6"/>
      <color theme="1"/>
      <name val="游ゴシック"/>
      <family val="2"/>
      <charset val="128"/>
      <scheme val="minor"/>
    </font>
    <font>
      <u/>
      <sz val="26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>
      <alignment vertical="center"/>
    </xf>
    <xf numFmtId="5" fontId="3" fillId="0" borderId="1" xfId="0" applyNumberFormat="1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57150</xdr:colOff>
          <xdr:row>1</xdr:row>
          <xdr:rowOff>19050</xdr:rowOff>
        </xdr:from>
        <xdr:to>
          <xdr:col>40</xdr:col>
          <xdr:colOff>57150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B653-FB31-4E62-AC42-21A861B87300}">
  <sheetPr codeName="Sheet1"/>
  <dimension ref="A1:AD31"/>
  <sheetViews>
    <sheetView showGridLines="0" tabSelected="1" view="pageBreakPreview" zoomScale="115" zoomScaleNormal="100" zoomScaleSheetLayoutView="115" workbookViewId="0">
      <selection activeCell="AQ7" sqref="AQ7"/>
    </sheetView>
  </sheetViews>
  <sheetFormatPr defaultColWidth="2.58203125" defaultRowHeight="18" x14ac:dyDescent="0.55000000000000004"/>
  <sheetData>
    <row r="1" spans="1:30" ht="41.5" x14ac:dyDescent="0.55000000000000004">
      <c r="A1" s="25" t="s">
        <v>32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</row>
    <row r="2" spans="1:30" x14ac:dyDescent="0.55000000000000004">
      <c r="V2" t="s">
        <v>33</v>
      </c>
      <c r="Y2" t="s">
        <v>1</v>
      </c>
      <c r="Z2" s="24">
        <v>123456</v>
      </c>
      <c r="AA2" s="24"/>
      <c r="AB2" s="24"/>
      <c r="AC2" s="24"/>
      <c r="AD2" s="24"/>
    </row>
    <row r="3" spans="1:30" x14ac:dyDescent="0.55000000000000004">
      <c r="B3" t="s">
        <v>6</v>
      </c>
      <c r="K3" t="s">
        <v>7</v>
      </c>
      <c r="V3" t="s">
        <v>0</v>
      </c>
      <c r="Y3" t="s">
        <v>1</v>
      </c>
      <c r="Z3" s="1" t="s">
        <v>2</v>
      </c>
      <c r="AA3" s="1"/>
      <c r="AB3" s="1"/>
      <c r="AC3" s="1"/>
      <c r="AD3" s="1"/>
    </row>
    <row r="4" spans="1:30" x14ac:dyDescent="0.55000000000000004">
      <c r="C4" t="s">
        <v>3</v>
      </c>
      <c r="F4" t="s">
        <v>4</v>
      </c>
      <c r="L4" t="s">
        <v>5</v>
      </c>
    </row>
    <row r="5" spans="1:30" x14ac:dyDescent="0.55000000000000004">
      <c r="S5" t="s">
        <v>13</v>
      </c>
    </row>
    <row r="6" spans="1:30" x14ac:dyDescent="0.55000000000000004">
      <c r="E6" t="s">
        <v>8</v>
      </c>
      <c r="H6" t="s">
        <v>1</v>
      </c>
      <c r="I6" t="s">
        <v>9</v>
      </c>
      <c r="T6" t="s">
        <v>14</v>
      </c>
      <c r="U6" t="s">
        <v>15</v>
      </c>
    </row>
    <row r="7" spans="1:30" x14ac:dyDescent="0.55000000000000004">
      <c r="E7" t="s">
        <v>10</v>
      </c>
      <c r="H7" t="s">
        <v>1</v>
      </c>
      <c r="I7" s="3" t="s">
        <v>2</v>
      </c>
      <c r="J7" s="2"/>
      <c r="K7" s="2"/>
      <c r="L7" s="2"/>
      <c r="M7" s="2"/>
      <c r="U7" t="s">
        <v>16</v>
      </c>
    </row>
    <row r="8" spans="1:30" x14ac:dyDescent="0.55000000000000004">
      <c r="E8" t="s">
        <v>11</v>
      </c>
      <c r="H8" t="s">
        <v>1</v>
      </c>
      <c r="I8" t="s">
        <v>12</v>
      </c>
      <c r="U8" t="s">
        <v>17</v>
      </c>
      <c r="W8" t="s">
        <v>1</v>
      </c>
      <c r="X8" t="s">
        <v>18</v>
      </c>
    </row>
    <row r="9" spans="1:30" x14ac:dyDescent="0.55000000000000004">
      <c r="U9" t="s">
        <v>19</v>
      </c>
      <c r="W9" t="s">
        <v>1</v>
      </c>
      <c r="X9" t="s">
        <v>20</v>
      </c>
    </row>
    <row r="10" spans="1:30" x14ac:dyDescent="0.55000000000000004">
      <c r="C10" s="4" t="s">
        <v>21</v>
      </c>
      <c r="D10" s="4"/>
      <c r="E10" s="4"/>
      <c r="F10" s="4"/>
      <c r="G10" s="5">
        <f>W25</f>
        <v>2090000</v>
      </c>
      <c r="H10" s="5"/>
      <c r="I10" s="5"/>
      <c r="J10" s="5"/>
      <c r="K10" s="5"/>
      <c r="L10" s="5"/>
      <c r="M10" s="5"/>
      <c r="N10" s="5"/>
      <c r="O10" s="5"/>
    </row>
    <row r="12" spans="1:30" x14ac:dyDescent="0.55000000000000004">
      <c r="B12" s="19" t="s">
        <v>22</v>
      </c>
      <c r="C12" s="19"/>
      <c r="D12" s="19"/>
      <c r="E12" s="19"/>
      <c r="F12" s="19"/>
      <c r="G12" s="19"/>
      <c r="H12" s="19"/>
      <c r="I12" s="19"/>
      <c r="J12" s="19"/>
      <c r="K12" s="19"/>
      <c r="L12" s="19" t="s">
        <v>23</v>
      </c>
      <c r="M12" s="19"/>
      <c r="N12" s="19"/>
      <c r="O12" s="19"/>
      <c r="P12" s="19"/>
      <c r="Q12" s="19" t="s">
        <v>24</v>
      </c>
      <c r="R12" s="19"/>
      <c r="S12" s="19"/>
      <c r="T12" s="19"/>
      <c r="U12" s="19"/>
      <c r="V12" s="19"/>
      <c r="W12" s="19" t="s">
        <v>25</v>
      </c>
      <c r="X12" s="19"/>
      <c r="Y12" s="19"/>
      <c r="Z12" s="19"/>
      <c r="AA12" s="19"/>
      <c r="AB12" s="19"/>
    </row>
    <row r="13" spans="1:30" x14ac:dyDescent="0.55000000000000004">
      <c r="B13" s="8" t="s">
        <v>30</v>
      </c>
      <c r="C13" s="8"/>
      <c r="D13" s="8"/>
      <c r="E13" s="8"/>
      <c r="F13" s="8"/>
      <c r="G13" s="8"/>
      <c r="H13" s="8"/>
      <c r="I13" s="8"/>
      <c r="J13" s="8"/>
      <c r="K13" s="8"/>
      <c r="L13" s="6">
        <v>1</v>
      </c>
      <c r="M13" s="6"/>
      <c r="N13" s="6"/>
      <c r="O13" s="6"/>
      <c r="P13" s="6"/>
      <c r="Q13" s="11">
        <v>400000</v>
      </c>
      <c r="R13" s="11"/>
      <c r="S13" s="11"/>
      <c r="T13" s="11"/>
      <c r="U13" s="11"/>
      <c r="V13" s="11"/>
      <c r="W13" s="11">
        <f>IF(AND(L13&lt;&gt;"", Q13&lt;&gt;""),L13*Q13,"")</f>
        <v>400000</v>
      </c>
      <c r="X13" s="11"/>
      <c r="Y13" s="11"/>
      <c r="Z13" s="11"/>
      <c r="AA13" s="11"/>
      <c r="AB13" s="11"/>
    </row>
    <row r="14" spans="1:30" x14ac:dyDescent="0.55000000000000004">
      <c r="B14" s="8" t="s">
        <v>31</v>
      </c>
      <c r="C14" s="8"/>
      <c r="D14" s="8"/>
      <c r="E14" s="8"/>
      <c r="F14" s="8"/>
      <c r="G14" s="8"/>
      <c r="H14" s="8"/>
      <c r="I14" s="8"/>
      <c r="J14" s="8"/>
      <c r="K14" s="8"/>
      <c r="L14" s="6">
        <v>3</v>
      </c>
      <c r="M14" s="6"/>
      <c r="N14" s="6"/>
      <c r="O14" s="6"/>
      <c r="P14" s="6"/>
      <c r="Q14" s="11">
        <v>500000</v>
      </c>
      <c r="R14" s="11"/>
      <c r="S14" s="11"/>
      <c r="T14" s="11"/>
      <c r="U14" s="11"/>
      <c r="V14" s="11"/>
      <c r="W14" s="11">
        <f t="shared" ref="W14:W22" si="0">IF(AND(L14&lt;&gt;"", Q14&lt;&gt;""),L14*Q14,"")</f>
        <v>1500000</v>
      </c>
      <c r="X14" s="11"/>
      <c r="Y14" s="11"/>
      <c r="Z14" s="11"/>
      <c r="AA14" s="11"/>
      <c r="AB14" s="11"/>
    </row>
    <row r="15" spans="1:30" x14ac:dyDescent="0.55000000000000004">
      <c r="B15" s="8"/>
      <c r="C15" s="8"/>
      <c r="D15" s="8"/>
      <c r="E15" s="8"/>
      <c r="F15" s="8"/>
      <c r="G15" s="8"/>
      <c r="H15" s="8"/>
      <c r="I15" s="8"/>
      <c r="J15" s="8"/>
      <c r="K15" s="8"/>
      <c r="L15" s="6"/>
      <c r="M15" s="6"/>
      <c r="N15" s="6"/>
      <c r="O15" s="6"/>
      <c r="P15" s="6"/>
      <c r="Q15" s="11"/>
      <c r="R15" s="11"/>
      <c r="S15" s="11"/>
      <c r="T15" s="11"/>
      <c r="U15" s="11"/>
      <c r="V15" s="11"/>
      <c r="W15" s="11" t="str">
        <f t="shared" si="0"/>
        <v/>
      </c>
      <c r="X15" s="11"/>
      <c r="Y15" s="11"/>
      <c r="Z15" s="11"/>
      <c r="AA15" s="11"/>
      <c r="AB15" s="11"/>
    </row>
    <row r="16" spans="1:30" x14ac:dyDescent="0.55000000000000004">
      <c r="B16" s="8"/>
      <c r="C16" s="8"/>
      <c r="D16" s="8"/>
      <c r="E16" s="8"/>
      <c r="F16" s="8"/>
      <c r="G16" s="8"/>
      <c r="H16" s="8"/>
      <c r="I16" s="8"/>
      <c r="J16" s="8"/>
      <c r="K16" s="8"/>
      <c r="L16" s="6"/>
      <c r="M16" s="6"/>
      <c r="N16" s="6"/>
      <c r="O16" s="6"/>
      <c r="P16" s="6"/>
      <c r="Q16" s="11"/>
      <c r="R16" s="11"/>
      <c r="S16" s="11"/>
      <c r="T16" s="11"/>
      <c r="U16" s="11"/>
      <c r="V16" s="11"/>
      <c r="W16" s="11" t="str">
        <f t="shared" si="0"/>
        <v/>
      </c>
      <c r="X16" s="11"/>
      <c r="Y16" s="11"/>
      <c r="Z16" s="11"/>
      <c r="AA16" s="11"/>
      <c r="AB16" s="11"/>
    </row>
    <row r="17" spans="2:28" x14ac:dyDescent="0.55000000000000004">
      <c r="B17" s="8"/>
      <c r="C17" s="8"/>
      <c r="D17" s="8"/>
      <c r="E17" s="8"/>
      <c r="F17" s="8"/>
      <c r="G17" s="8"/>
      <c r="H17" s="8"/>
      <c r="I17" s="8"/>
      <c r="J17" s="8"/>
      <c r="K17" s="8"/>
      <c r="L17" s="6"/>
      <c r="M17" s="6"/>
      <c r="N17" s="6"/>
      <c r="O17" s="6"/>
      <c r="P17" s="6"/>
      <c r="Q17" s="11"/>
      <c r="R17" s="11"/>
      <c r="S17" s="11"/>
      <c r="T17" s="11"/>
      <c r="U17" s="11"/>
      <c r="V17" s="11"/>
      <c r="W17" s="11" t="str">
        <f t="shared" si="0"/>
        <v/>
      </c>
      <c r="X17" s="11"/>
      <c r="Y17" s="11"/>
      <c r="Z17" s="11"/>
      <c r="AA17" s="11"/>
      <c r="AB17" s="11"/>
    </row>
    <row r="18" spans="2:28" x14ac:dyDescent="0.55000000000000004">
      <c r="B18" s="8"/>
      <c r="C18" s="8"/>
      <c r="D18" s="8"/>
      <c r="E18" s="8"/>
      <c r="F18" s="8"/>
      <c r="G18" s="8"/>
      <c r="H18" s="8"/>
      <c r="I18" s="8"/>
      <c r="J18" s="8"/>
      <c r="K18" s="8"/>
      <c r="L18" s="6"/>
      <c r="M18" s="6"/>
      <c r="N18" s="6"/>
      <c r="O18" s="6"/>
      <c r="P18" s="6"/>
      <c r="Q18" s="11"/>
      <c r="R18" s="11"/>
      <c r="S18" s="11"/>
      <c r="T18" s="11"/>
      <c r="U18" s="11"/>
      <c r="V18" s="11"/>
      <c r="W18" s="11" t="str">
        <f t="shared" si="0"/>
        <v/>
      </c>
      <c r="X18" s="11"/>
      <c r="Y18" s="11"/>
      <c r="Z18" s="11"/>
      <c r="AA18" s="11"/>
      <c r="AB18" s="11"/>
    </row>
    <row r="19" spans="2:28" x14ac:dyDescent="0.55000000000000004">
      <c r="B19" s="8"/>
      <c r="C19" s="8"/>
      <c r="D19" s="8"/>
      <c r="E19" s="8"/>
      <c r="F19" s="8"/>
      <c r="G19" s="8"/>
      <c r="H19" s="8"/>
      <c r="I19" s="8"/>
      <c r="J19" s="8"/>
      <c r="K19" s="8"/>
      <c r="L19" s="6"/>
      <c r="M19" s="6"/>
      <c r="N19" s="6"/>
      <c r="O19" s="6"/>
      <c r="P19" s="6"/>
      <c r="Q19" s="11"/>
      <c r="R19" s="11"/>
      <c r="S19" s="11"/>
      <c r="T19" s="11"/>
      <c r="U19" s="11"/>
      <c r="V19" s="11"/>
      <c r="W19" s="11" t="str">
        <f t="shared" si="0"/>
        <v/>
      </c>
      <c r="X19" s="11"/>
      <c r="Y19" s="11"/>
      <c r="Z19" s="11"/>
      <c r="AA19" s="11"/>
      <c r="AB19" s="11"/>
    </row>
    <row r="20" spans="2:28" x14ac:dyDescent="0.55000000000000004">
      <c r="B20" s="8"/>
      <c r="C20" s="8"/>
      <c r="D20" s="8"/>
      <c r="E20" s="8"/>
      <c r="F20" s="8"/>
      <c r="G20" s="8"/>
      <c r="H20" s="8"/>
      <c r="I20" s="8"/>
      <c r="J20" s="8"/>
      <c r="K20" s="8"/>
      <c r="L20" s="6"/>
      <c r="M20" s="6"/>
      <c r="N20" s="6"/>
      <c r="O20" s="6"/>
      <c r="P20" s="6"/>
      <c r="Q20" s="11"/>
      <c r="R20" s="11"/>
      <c r="S20" s="11"/>
      <c r="T20" s="11"/>
      <c r="U20" s="11"/>
      <c r="V20" s="11"/>
      <c r="W20" s="11" t="str">
        <f t="shared" si="0"/>
        <v/>
      </c>
      <c r="X20" s="11"/>
      <c r="Y20" s="11"/>
      <c r="Z20" s="11"/>
      <c r="AA20" s="11"/>
      <c r="AB20" s="11"/>
    </row>
    <row r="21" spans="2:28" x14ac:dyDescent="0.55000000000000004">
      <c r="B21" s="8"/>
      <c r="C21" s="8"/>
      <c r="D21" s="8"/>
      <c r="E21" s="8"/>
      <c r="F21" s="8"/>
      <c r="G21" s="8"/>
      <c r="H21" s="8"/>
      <c r="I21" s="8"/>
      <c r="J21" s="8"/>
      <c r="K21" s="8"/>
      <c r="L21" s="6"/>
      <c r="M21" s="6"/>
      <c r="N21" s="6"/>
      <c r="O21" s="6"/>
      <c r="P21" s="6"/>
      <c r="Q21" s="11"/>
      <c r="R21" s="11"/>
      <c r="S21" s="11"/>
      <c r="T21" s="11"/>
      <c r="U21" s="11"/>
      <c r="V21" s="11"/>
      <c r="W21" s="11" t="str">
        <f t="shared" si="0"/>
        <v/>
      </c>
      <c r="X21" s="11"/>
      <c r="Y21" s="11"/>
      <c r="Z21" s="11"/>
      <c r="AA21" s="11"/>
      <c r="AB21" s="11"/>
    </row>
    <row r="22" spans="2:28" x14ac:dyDescent="0.55000000000000004">
      <c r="B22" s="8"/>
      <c r="C22" s="8"/>
      <c r="D22" s="8"/>
      <c r="E22" s="8"/>
      <c r="F22" s="8"/>
      <c r="G22" s="8"/>
      <c r="H22" s="8"/>
      <c r="I22" s="8"/>
      <c r="J22" s="8"/>
      <c r="K22" s="8"/>
      <c r="L22" s="6"/>
      <c r="M22" s="6"/>
      <c r="N22" s="6"/>
      <c r="O22" s="6"/>
      <c r="P22" s="6"/>
      <c r="Q22" s="11"/>
      <c r="R22" s="11"/>
      <c r="S22" s="11"/>
      <c r="T22" s="11"/>
      <c r="U22" s="11"/>
      <c r="V22" s="11"/>
      <c r="W22" s="11" t="str">
        <f t="shared" si="0"/>
        <v/>
      </c>
      <c r="X22" s="11"/>
      <c r="Y22" s="11"/>
      <c r="Z22" s="11"/>
      <c r="AA22" s="11"/>
      <c r="AB22" s="11"/>
    </row>
    <row r="23" spans="2:28" x14ac:dyDescent="0.55000000000000004">
      <c r="Q23" s="19" t="s">
        <v>26</v>
      </c>
      <c r="R23" s="19"/>
      <c r="S23" s="19"/>
      <c r="T23" s="19"/>
      <c r="U23" s="19"/>
      <c r="V23" s="19"/>
      <c r="W23" s="11">
        <f>SUM(W13:AB22)</f>
        <v>1900000</v>
      </c>
      <c r="X23" s="11"/>
      <c r="Y23" s="11"/>
      <c r="Z23" s="11"/>
      <c r="AA23" s="11"/>
      <c r="AB23" s="11"/>
    </row>
    <row r="24" spans="2:28" x14ac:dyDescent="0.55000000000000004">
      <c r="Q24" s="19" t="s">
        <v>27</v>
      </c>
      <c r="R24" s="19"/>
      <c r="S24" s="19"/>
      <c r="T24" s="19"/>
      <c r="U24" s="19"/>
      <c r="V24" s="19"/>
      <c r="W24" s="11">
        <f>W23*0.1</f>
        <v>190000</v>
      </c>
      <c r="X24" s="11"/>
      <c r="Y24" s="11"/>
      <c r="Z24" s="11"/>
      <c r="AA24" s="11"/>
      <c r="AB24" s="11"/>
    </row>
    <row r="25" spans="2:28" x14ac:dyDescent="0.55000000000000004">
      <c r="Q25" s="19" t="s">
        <v>28</v>
      </c>
      <c r="R25" s="19"/>
      <c r="S25" s="19"/>
      <c r="T25" s="19"/>
      <c r="U25" s="19"/>
      <c r="V25" s="19"/>
      <c r="W25" s="23">
        <f>W23+W24</f>
        <v>2090000</v>
      </c>
      <c r="X25" s="23"/>
      <c r="Y25" s="23"/>
      <c r="Z25" s="23"/>
      <c r="AA25" s="23"/>
      <c r="AB25" s="23"/>
    </row>
    <row r="27" spans="2:28" x14ac:dyDescent="0.55000000000000004">
      <c r="B27" s="20" t="s">
        <v>29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2"/>
    </row>
    <row r="28" spans="2:28" x14ac:dyDescent="0.55000000000000004">
      <c r="B28" s="9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12"/>
    </row>
    <row r="29" spans="2:28" x14ac:dyDescent="0.55000000000000004">
      <c r="B29" s="13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4"/>
    </row>
    <row r="30" spans="2:28" x14ac:dyDescent="0.55000000000000004">
      <c r="B30" s="13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4"/>
    </row>
    <row r="31" spans="2:28" x14ac:dyDescent="0.55000000000000004">
      <c r="B31" s="15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7"/>
    </row>
  </sheetData>
  <mergeCells count="56">
    <mergeCell ref="B28:AB31"/>
    <mergeCell ref="A1:AD1"/>
    <mergeCell ref="Q24:V24"/>
    <mergeCell ref="W24:AB24"/>
    <mergeCell ref="Q25:V25"/>
    <mergeCell ref="W25:AB25"/>
    <mergeCell ref="B27:AB27"/>
    <mergeCell ref="B22:K22"/>
    <mergeCell ref="L22:P22"/>
    <mergeCell ref="Q22:V22"/>
    <mergeCell ref="W22:AB22"/>
    <mergeCell ref="Q23:V23"/>
    <mergeCell ref="W23:AB23"/>
    <mergeCell ref="B20:K20"/>
    <mergeCell ref="L20:P20"/>
    <mergeCell ref="Q20:V20"/>
    <mergeCell ref="W20:AB20"/>
    <mergeCell ref="B21:K21"/>
    <mergeCell ref="L21:P21"/>
    <mergeCell ref="Q21:V21"/>
    <mergeCell ref="W21:AB21"/>
    <mergeCell ref="B18:K18"/>
    <mergeCell ref="L18:P18"/>
    <mergeCell ref="Q18:V18"/>
    <mergeCell ref="W18:AB18"/>
    <mergeCell ref="B19:K19"/>
    <mergeCell ref="L19:P19"/>
    <mergeCell ref="Q19:V19"/>
    <mergeCell ref="W19:AB19"/>
    <mergeCell ref="B16:K16"/>
    <mergeCell ref="L16:P16"/>
    <mergeCell ref="Q16:V16"/>
    <mergeCell ref="W16:AB16"/>
    <mergeCell ref="B17:K17"/>
    <mergeCell ref="L17:P17"/>
    <mergeCell ref="Q17:V17"/>
    <mergeCell ref="W17:AB17"/>
    <mergeCell ref="Q14:V14"/>
    <mergeCell ref="W14:AB14"/>
    <mergeCell ref="B15:K15"/>
    <mergeCell ref="L15:P15"/>
    <mergeCell ref="Q15:V15"/>
    <mergeCell ref="W15:AB15"/>
    <mergeCell ref="B13:K13"/>
    <mergeCell ref="L13:P13"/>
    <mergeCell ref="Q13:V13"/>
    <mergeCell ref="W13:AB13"/>
    <mergeCell ref="B14:K14"/>
    <mergeCell ref="L14:P14"/>
    <mergeCell ref="Z2:AD2"/>
    <mergeCell ref="Z3:AD3"/>
    <mergeCell ref="G10:O10"/>
    <mergeCell ref="B12:K12"/>
    <mergeCell ref="L12:P12"/>
    <mergeCell ref="Q12:V12"/>
    <mergeCell ref="W12:AB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_click_output_pdf">
                <anchor moveWithCells="1" sizeWithCells="1">
                  <from>
                    <xdr:col>33</xdr:col>
                    <xdr:colOff>57150</xdr:colOff>
                    <xdr:row>1</xdr:row>
                    <xdr:rowOff>19050</xdr:rowOff>
                  </from>
                  <to>
                    <xdr:col>40</xdr:col>
                    <xdr:colOff>57150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注文書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五十嵐瑛</dc:creator>
  <cp:lastModifiedBy>五十嵐瑛</cp:lastModifiedBy>
  <cp:lastPrinted>2023-02-05T01:54:32Z</cp:lastPrinted>
  <dcterms:created xsi:type="dcterms:W3CDTF">2023-02-05T00:52:23Z</dcterms:created>
  <dcterms:modified xsi:type="dcterms:W3CDTF">2023-02-05T02:01:48Z</dcterms:modified>
</cp:coreProperties>
</file>